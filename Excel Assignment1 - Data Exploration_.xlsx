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0F457910-2849-49B8-81D8-D04D2ED44863}" xr6:coauthVersionLast="47" xr6:coauthVersionMax="47" xr10:uidLastSave="{00000000-0000-0000-0000-000000000000}"/>
  <bookViews>
    <workbookView xWindow="5760" yWindow="1488" windowWidth="17280" windowHeight="8880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48" i="2"/>
  <c r="C47" i="2"/>
  <c r="C44" i="2"/>
  <c r="C43" i="2"/>
  <c r="C40" i="2"/>
  <c r="C39" i="2"/>
  <c r="C38" i="2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<sst xmlns="http://schemas.openxmlformats.org/spreadsheetml/2006/main" count="153" uniqueCount="104">
  <si>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</si>
  <si>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</si>
  <si>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</si>
  <si>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</si>
  <si>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</si>
  <si>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</si>
  <si>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</si>
  <si>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</si>
  <si>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</si>
  <si>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</si>
  <si>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</si>
  <si>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</si>
  <si>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</si>
  <si>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</si>
  <si>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</si>
  <si>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</si>
  <si>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</si>
  <si>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</si>
  <si>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</si>
  <si>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</si>
  <si>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</si>
  <si>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</si>
  <si>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</si>
  <si>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</si>
  <si>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</si>
  <si>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</si>
  <si>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</si>
  <si>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</si>
  <si>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</si>
  <si>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</si>
  <si>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</si>
  <si>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</si>
  <si>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</si>
  <si>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</si>
  <si>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</si>
  <si>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</si>
  <si>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</si>
  <si>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</si>
  <si>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</si>
  <si>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</si>
  <si>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</si>
  <si>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</si>
  <si>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</si>
  <si>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</si>
  <si>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</si>
  <si>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</si>
  <si>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</si>
  <si>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</si>
  <si>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</si>
  <si>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</si>
  <si>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</si>
  <si>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</si>
  <si>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</si>
  <si>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</si>
  <si>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</si>
  <si>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</si>
  <si>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</si>
  <si>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</si>
  <si>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</si>
  <si>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</si>
  <si>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</si>
  <si>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</si>
  <si>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</si>
  <si>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</si>
  <si>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</si>
  <si>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</si>
  <si>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</si>
  <si>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</si>
  <si>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</si>
  <si>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</si>
  <si>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</si>
  <si>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</si>
  <si>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</si>
  <si>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</si>
  <si>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</si>
  <si>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</si>
  <si>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</si>
  <si>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</si>
  <si>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</si>
  <si>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</si>
  <si>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</si>
  <si>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</si>
  <si>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</si>
  <si>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</si>
  <si>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</si>
  <si>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</si>
  <si>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</si>
  <si>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</si>
  <si>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</si>
  <si>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</si>
  <si>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</si>
  <si>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</si>
  <si>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</si>
  <si>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</si>
  <si>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Number of Product in dataset</t>
  </si>
  <si>
    <t>Average price of the products</t>
  </si>
  <si>
    <t xml:space="preserve">MINIMUM PRICE AMONG ALL PRODUCTS </t>
  </si>
  <si>
    <t xml:space="preserve">MAXIMUM PRICE AMONG ALL PRODUCTS </t>
  </si>
  <si>
    <t>Price Range</t>
  </si>
  <si>
    <t>The Total Price For Products In The Electronics</t>
  </si>
  <si>
    <t>Date</t>
  </si>
  <si>
    <t>Country Code</t>
  </si>
  <si>
    <t>Month</t>
  </si>
  <si>
    <t>Count of products with a price less than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</si>
</sst>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1" xfId="0" applyBorder="1"/>
    <xf numFmtId="0" fontId="3" fillId="4" borderId="1" xfId="0" applyFont="1" applyFill="1" applyBorder="1"/>
    <xf numFmtId="0" fontId="4" fillId="0" borderId="1" xfId="0" applyFont="1" applyBorder="1"/>
    <xf numFmtId="0" fontId="5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20" zoomScale="73" zoomScaleNormal="70" workbookViewId="0">
      <selection activeCell="K14" sqref="K14"/>
    </sheetView>
  </sheetViews>
  <sheetFormatPr defaultColWidth="12.6640625" defaultRowHeight="15" customHeight="1" x14ac:dyDescent="0.25"/>
  <cols>
    <col min="1" max="1" width="18.88671875" customWidth="1"/>
    <col min="2" max="2" width="33.21875" customWidth="1"/>
    <col min="3" max="3" width="16.21875" customWidth="1"/>
    <col min="4" max="6" width="12.6640625" customWidth="1"/>
    <col min="7" max="7" width="14.44140625" bestFit="1" customWidth="1"/>
    <col min="9" max="9" width="16.109375" bestFit="1" customWidth="1"/>
    <col min="13" max="13" width="75.44140625" bestFit="1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98</v>
      </c>
      <c r="H1" s="7" t="s">
        <v>100</v>
      </c>
      <c r="I1" s="7" t="s">
        <v>101</v>
      </c>
      <c r="J1" s="7" t="s">
        <v>102</v>
      </c>
    </row>
    <row r="2" spans="1:10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8" t="str">
        <f>IF(D2&gt;=500,"High Price","Standard Price")</f>
        <v>High Price</v>
      </c>
      <c r="H2" s="4" t="str">
        <f>LEFT(A2,2)</f>
        <v>28</v>
      </c>
      <c r="I2" s="4" t="str">
        <f>RIGHT(A2,2)</f>
        <v>US</v>
      </c>
      <c r="J2" s="4" t="str">
        <f>MID(A2,4,3)</f>
        <v>JAN</v>
      </c>
    </row>
    <row r="3" spans="1:10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8" t="str">
        <f t="shared" ref="G3:G35" si="0">IF(D3&gt;=500,"High Price","Standard Price")</f>
        <v>Standard Price</v>
      </c>
      <c r="H3" s="4" t="str">
        <f t="shared" ref="H3:H35" si="1">LEFT(A3,2)</f>
        <v>15</v>
      </c>
      <c r="I3" s="4" t="str">
        <f t="shared" ref="I3:I35" si="2">RIGHT(A3,2)</f>
        <v>US</v>
      </c>
      <c r="J3" s="4" t="str">
        <f t="shared" ref="J3:J35" si="3">MID(A3,4,3)</f>
        <v>FEB</v>
      </c>
    </row>
    <row r="4" spans="1:10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8" t="str">
        <f t="shared" si="0"/>
        <v>Standard Price</v>
      </c>
      <c r="H4" s="4" t="str">
        <f t="shared" si="1"/>
        <v>03</v>
      </c>
      <c r="I4" s="4" t="str">
        <f t="shared" si="2"/>
        <v>US</v>
      </c>
      <c r="J4" s="4" t="str">
        <f t="shared" si="3"/>
        <v>MAR</v>
      </c>
    </row>
    <row r="5" spans="1:10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8" t="str">
        <f t="shared" si="0"/>
        <v>High Price</v>
      </c>
      <c r="H5" s="4" t="str">
        <f t="shared" si="1"/>
        <v>11</v>
      </c>
      <c r="I5" s="4" t="str">
        <f t="shared" si="2"/>
        <v>US</v>
      </c>
      <c r="J5" s="4" t="str">
        <f t="shared" si="3"/>
        <v>APR</v>
      </c>
    </row>
    <row r="6" spans="1:10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8" t="str">
        <f t="shared" si="0"/>
        <v>Standard Price</v>
      </c>
      <c r="H6" s="4" t="str">
        <f t="shared" si="1"/>
        <v>22</v>
      </c>
      <c r="I6" s="4" t="str">
        <f t="shared" si="2"/>
        <v>US</v>
      </c>
      <c r="J6" s="4" t="str">
        <f t="shared" si="3"/>
        <v>MAY</v>
      </c>
    </row>
    <row r="7" spans="1:10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8" t="str">
        <f t="shared" si="0"/>
        <v>Standard Price</v>
      </c>
      <c r="H7" s="4" t="str">
        <f t="shared" si="1"/>
        <v>07</v>
      </c>
      <c r="I7" s="4" t="str">
        <f t="shared" si="2"/>
        <v>UK</v>
      </c>
      <c r="J7" s="4" t="str">
        <f t="shared" si="3"/>
        <v>JUN</v>
      </c>
    </row>
    <row r="8" spans="1:10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8" t="str">
        <f t="shared" si="0"/>
        <v>Standard Price</v>
      </c>
      <c r="H8" s="4" t="str">
        <f t="shared" si="1"/>
        <v>19</v>
      </c>
      <c r="I8" s="4" t="str">
        <f t="shared" si="2"/>
        <v>UK</v>
      </c>
      <c r="J8" s="4" t="str">
        <f t="shared" si="3"/>
        <v>JUL</v>
      </c>
    </row>
    <row r="9" spans="1:10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8" t="str">
        <f t="shared" si="0"/>
        <v>Standard Price</v>
      </c>
      <c r="H9" s="4" t="str">
        <f t="shared" si="1"/>
        <v>23</v>
      </c>
      <c r="I9" s="4" t="str">
        <f t="shared" si="2"/>
        <v>UK</v>
      </c>
      <c r="J9" s="4" t="str">
        <f t="shared" si="3"/>
        <v>AUG</v>
      </c>
    </row>
    <row r="10" spans="1:10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8" t="str">
        <f t="shared" si="0"/>
        <v>High Price</v>
      </c>
      <c r="H10" s="4" t="str">
        <f t="shared" si="1"/>
        <v>05</v>
      </c>
      <c r="I10" s="4" t="str">
        <f t="shared" si="2"/>
        <v>UK</v>
      </c>
      <c r="J10" s="4" t="str">
        <f t="shared" si="3"/>
        <v>SEP</v>
      </c>
    </row>
    <row r="11" spans="1:10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8" t="str">
        <f t="shared" si="0"/>
        <v>Standard Price</v>
      </c>
      <c r="H11" s="4" t="str">
        <f t="shared" si="1"/>
        <v>14</v>
      </c>
      <c r="I11" s="4" t="str">
        <f t="shared" si="2"/>
        <v>UK</v>
      </c>
      <c r="J11" s="4" t="str">
        <f t="shared" si="3"/>
        <v>OCT</v>
      </c>
    </row>
    <row r="12" spans="1:10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8" t="str">
        <f t="shared" si="0"/>
        <v>High Price</v>
      </c>
      <c r="H12" s="4" t="str">
        <f t="shared" si="1"/>
        <v>17</v>
      </c>
      <c r="I12" s="4" t="str">
        <f t="shared" si="2"/>
        <v>IN</v>
      </c>
      <c r="J12" s="4" t="str">
        <f t="shared" si="3"/>
        <v>JUN</v>
      </c>
    </row>
    <row r="13" spans="1:10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8" t="str">
        <f t="shared" si="0"/>
        <v>Standard Price</v>
      </c>
      <c r="H13" s="4" t="str">
        <f t="shared" si="1"/>
        <v>25</v>
      </c>
      <c r="I13" s="4" t="str">
        <f t="shared" si="2"/>
        <v>AU</v>
      </c>
      <c r="J13" s="4" t="str">
        <f t="shared" si="3"/>
        <v>NOV</v>
      </c>
    </row>
    <row r="14" spans="1:10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8" t="str">
        <f t="shared" si="0"/>
        <v>Standard Price</v>
      </c>
      <c r="H14" s="4" t="str">
        <f t="shared" si="1"/>
        <v>08</v>
      </c>
      <c r="I14" s="4" t="str">
        <f t="shared" si="2"/>
        <v>DE</v>
      </c>
      <c r="J14" s="4" t="str">
        <f t="shared" si="3"/>
        <v>DEC</v>
      </c>
    </row>
    <row r="15" spans="1:10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8" t="str">
        <f t="shared" si="0"/>
        <v>Standard Price</v>
      </c>
      <c r="H15" s="4" t="str">
        <f t="shared" si="1"/>
        <v>18</v>
      </c>
      <c r="I15" s="4" t="str">
        <f t="shared" si="2"/>
        <v>CA</v>
      </c>
      <c r="J15" s="4" t="str">
        <f t="shared" si="3"/>
        <v>FEB</v>
      </c>
    </row>
    <row r="16" spans="1:10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8" t="str">
        <f t="shared" si="0"/>
        <v>Standard Price</v>
      </c>
      <c r="H16" s="4" t="str">
        <f t="shared" si="1"/>
        <v>16</v>
      </c>
      <c r="I16" s="4" t="str">
        <f t="shared" si="2"/>
        <v>ES</v>
      </c>
      <c r="J16" s="4" t="str">
        <f t="shared" si="3"/>
        <v>APR</v>
      </c>
    </row>
    <row r="17" spans="1:10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8" t="str">
        <f t="shared" si="0"/>
        <v>Standard Price</v>
      </c>
      <c r="H17" s="4" t="str">
        <f t="shared" si="1"/>
        <v>21</v>
      </c>
      <c r="I17" s="4" t="str">
        <f t="shared" si="2"/>
        <v>CA</v>
      </c>
      <c r="J17" s="4" t="str">
        <f t="shared" si="3"/>
        <v>AUG</v>
      </c>
    </row>
    <row r="18" spans="1:10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8" t="str">
        <f t="shared" si="0"/>
        <v>Standard Price</v>
      </c>
      <c r="H18" s="4" t="str">
        <f t="shared" si="1"/>
        <v>20</v>
      </c>
      <c r="I18" s="4" t="str">
        <f t="shared" si="2"/>
        <v>CN</v>
      </c>
      <c r="J18" s="4" t="str">
        <f t="shared" si="3"/>
        <v>AUG</v>
      </c>
    </row>
    <row r="19" spans="1:10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8" t="str">
        <f t="shared" si="0"/>
        <v>High Price</v>
      </c>
      <c r="H19" s="4" t="str">
        <f t="shared" si="1"/>
        <v>27</v>
      </c>
      <c r="I19" s="4" t="str">
        <f t="shared" si="2"/>
        <v>IT</v>
      </c>
      <c r="J19" s="4" t="str">
        <f t="shared" si="3"/>
        <v>JAN</v>
      </c>
    </row>
    <row r="20" spans="1:10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8" t="str">
        <f t="shared" si="0"/>
        <v>Standard Price</v>
      </c>
      <c r="H20" s="4" t="str">
        <f t="shared" si="1"/>
        <v>01</v>
      </c>
      <c r="I20" s="4" t="str">
        <f t="shared" si="2"/>
        <v>UK</v>
      </c>
      <c r="J20" s="4" t="str">
        <f t="shared" si="3"/>
        <v>MAR</v>
      </c>
    </row>
    <row r="21" spans="1:10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8" t="str">
        <f t="shared" si="0"/>
        <v>Standard Price</v>
      </c>
      <c r="H21" s="4" t="str">
        <f t="shared" si="1"/>
        <v>14</v>
      </c>
      <c r="I21" s="4" t="str">
        <f t="shared" si="2"/>
        <v>US</v>
      </c>
      <c r="J21" s="4" t="str">
        <f t="shared" si="3"/>
        <v>AUG</v>
      </c>
    </row>
    <row r="22" spans="1:10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8" t="str">
        <f t="shared" si="0"/>
        <v>High Price</v>
      </c>
      <c r="H22" s="4" t="str">
        <f t="shared" si="1"/>
        <v>14</v>
      </c>
      <c r="I22" s="4" t="str">
        <f t="shared" si="2"/>
        <v>RU</v>
      </c>
      <c r="J22" s="4" t="str">
        <f t="shared" si="3"/>
        <v>MAY</v>
      </c>
    </row>
    <row r="23" spans="1:10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8" t="str">
        <f t="shared" si="0"/>
        <v>Standard Price</v>
      </c>
      <c r="H23" s="4" t="str">
        <f t="shared" si="1"/>
        <v>09</v>
      </c>
      <c r="I23" s="4" t="str">
        <f t="shared" si="2"/>
        <v>CA</v>
      </c>
      <c r="J23" s="4" t="str">
        <f t="shared" si="3"/>
        <v>JAN</v>
      </c>
    </row>
    <row r="24" spans="1:10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8" t="str">
        <f t="shared" si="0"/>
        <v>Standard Price</v>
      </c>
      <c r="H24" s="4" t="str">
        <f t="shared" si="1"/>
        <v>19</v>
      </c>
      <c r="I24" s="4" t="str">
        <f t="shared" si="2"/>
        <v>BR</v>
      </c>
      <c r="J24" s="4" t="str">
        <f t="shared" si="3"/>
        <v>JUL</v>
      </c>
    </row>
    <row r="25" spans="1:10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8" t="str">
        <f t="shared" si="0"/>
        <v>Standard Price</v>
      </c>
      <c r="H25" s="4" t="str">
        <f t="shared" si="1"/>
        <v>21</v>
      </c>
      <c r="I25" s="4" t="str">
        <f t="shared" si="2"/>
        <v>CA</v>
      </c>
      <c r="J25" s="4" t="str">
        <f t="shared" si="3"/>
        <v>AUG</v>
      </c>
    </row>
    <row r="26" spans="1:10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8" t="str">
        <f t="shared" si="0"/>
        <v>High Price</v>
      </c>
      <c r="H26" s="4" t="str">
        <f t="shared" si="1"/>
        <v>29</v>
      </c>
      <c r="I26" s="4" t="str">
        <f t="shared" si="2"/>
        <v>CA</v>
      </c>
      <c r="J26" s="4" t="str">
        <f t="shared" si="3"/>
        <v>SEP</v>
      </c>
    </row>
    <row r="27" spans="1:10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8" t="str">
        <f t="shared" si="0"/>
        <v>Standard Price</v>
      </c>
      <c r="H27" s="4" t="str">
        <f t="shared" si="1"/>
        <v>03</v>
      </c>
      <c r="I27" s="4" t="str">
        <f t="shared" si="2"/>
        <v>CA</v>
      </c>
      <c r="J27" s="4" t="str">
        <f t="shared" si="3"/>
        <v>JUN</v>
      </c>
    </row>
    <row r="28" spans="1:10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8" t="str">
        <f t="shared" si="0"/>
        <v>Standard Price</v>
      </c>
      <c r="H28" s="4" t="str">
        <f t="shared" si="1"/>
        <v>11</v>
      </c>
      <c r="I28" s="4" t="str">
        <f t="shared" si="2"/>
        <v>CA</v>
      </c>
      <c r="J28" s="4" t="str">
        <f t="shared" si="3"/>
        <v>JUL</v>
      </c>
    </row>
    <row r="29" spans="1:10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8" t="str">
        <f t="shared" si="0"/>
        <v>Standard Price</v>
      </c>
      <c r="H29" s="4" t="str">
        <f t="shared" si="1"/>
        <v>16</v>
      </c>
      <c r="I29" s="4" t="str">
        <f t="shared" si="2"/>
        <v>ES</v>
      </c>
      <c r="J29" s="4" t="str">
        <f t="shared" si="3"/>
        <v>APR</v>
      </c>
    </row>
    <row r="30" spans="1:10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8" t="str">
        <f t="shared" si="0"/>
        <v>Standard Price</v>
      </c>
      <c r="H30" s="4" t="str">
        <f t="shared" si="1"/>
        <v>07</v>
      </c>
      <c r="I30" s="4" t="str">
        <f t="shared" si="2"/>
        <v>CA</v>
      </c>
      <c r="J30" s="4" t="str">
        <f t="shared" si="3"/>
        <v>MAR</v>
      </c>
    </row>
    <row r="31" spans="1:10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8" t="str">
        <f t="shared" si="0"/>
        <v>Standard Price</v>
      </c>
      <c r="H31" s="4" t="str">
        <f t="shared" si="1"/>
        <v>13</v>
      </c>
      <c r="I31" s="4" t="str">
        <f t="shared" si="2"/>
        <v>CA</v>
      </c>
      <c r="J31" s="4" t="str">
        <f t="shared" si="3"/>
        <v>APR</v>
      </c>
    </row>
    <row r="32" spans="1:10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8" t="str">
        <f t="shared" si="0"/>
        <v>Standard Price</v>
      </c>
      <c r="H32" s="4" t="str">
        <f t="shared" si="1"/>
        <v>24</v>
      </c>
      <c r="I32" s="4" t="str">
        <f t="shared" si="2"/>
        <v>CA</v>
      </c>
      <c r="J32" s="4" t="str">
        <f t="shared" si="3"/>
        <v>MAY</v>
      </c>
    </row>
    <row r="33" spans="1:10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8" t="str">
        <f t="shared" si="0"/>
        <v>Standard Price</v>
      </c>
      <c r="H33" s="4" t="str">
        <f t="shared" si="1"/>
        <v>02</v>
      </c>
      <c r="I33" s="4" t="str">
        <f t="shared" si="2"/>
        <v>CA</v>
      </c>
      <c r="J33" s="4" t="str">
        <f t="shared" si="3"/>
        <v>DEC</v>
      </c>
    </row>
    <row r="34" spans="1:10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8" t="str">
        <f t="shared" si="0"/>
        <v>High Price</v>
      </c>
      <c r="H34" s="4" t="str">
        <f t="shared" si="1"/>
        <v>17</v>
      </c>
      <c r="I34" s="4" t="str">
        <f t="shared" si="2"/>
        <v>IN</v>
      </c>
      <c r="J34" s="4" t="str">
        <f t="shared" si="3"/>
        <v>JUN</v>
      </c>
    </row>
    <row r="35" spans="1:10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8" t="str">
        <f t="shared" si="0"/>
        <v>Standard Price</v>
      </c>
      <c r="H35" s="4" t="str">
        <f t="shared" si="1"/>
        <v>09</v>
      </c>
      <c r="I35" s="4" t="str">
        <f t="shared" si="2"/>
        <v>FR</v>
      </c>
      <c r="J35" s="4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>
      <c r="A38" s="9" t="s">
        <v>93</v>
      </c>
      <c r="B38" s="9"/>
      <c r="C38" s="4">
        <f>SUM(D2:D35)</f>
        <v>10100</v>
      </c>
    </row>
    <row r="39" spans="1:10" ht="15.75" customHeight="1" x14ac:dyDescent="0.25">
      <c r="A39" s="5" t="s">
        <v>94</v>
      </c>
      <c r="B39" s="5"/>
      <c r="C39" s="4">
        <f>COUNTA(B2:B35)</f>
        <v>34</v>
      </c>
    </row>
    <row r="40" spans="1:10" ht="15.75" customHeight="1" x14ac:dyDescent="0.25">
      <c r="A40" s="5" t="s">
        <v>95</v>
      </c>
      <c r="B40" s="5"/>
      <c r="C40" s="4">
        <f>AVERAGE(D2:D35)</f>
        <v>297.05882352941177</v>
      </c>
    </row>
    <row r="41" spans="1:10" ht="15.75" customHeight="1" x14ac:dyDescent="0.25">
      <c r="A41" s="4"/>
      <c r="B41" s="4"/>
      <c r="C41" s="4"/>
    </row>
    <row r="42" spans="1:10" ht="15.75" customHeight="1" x14ac:dyDescent="0.25">
      <c r="A42" s="4"/>
      <c r="B42" s="4"/>
      <c r="C42" s="4"/>
    </row>
    <row r="43" spans="1:10" ht="15.75" customHeight="1" x14ac:dyDescent="0.25">
      <c r="A43" s="5" t="s">
        <v>96</v>
      </c>
      <c r="B43" s="5"/>
      <c r="C43" s="4">
        <f>MIN(D2:D35)</f>
        <v>30</v>
      </c>
    </row>
    <row r="44" spans="1:10" ht="15.75" customHeight="1" x14ac:dyDescent="0.25">
      <c r="A44" s="5" t="s">
        <v>97</v>
      </c>
      <c r="B44" s="5"/>
      <c r="C44" s="4">
        <f>MAX(D2:D35)</f>
        <v>1000</v>
      </c>
    </row>
    <row r="45" spans="1:10" ht="15.75" customHeight="1" x14ac:dyDescent="0.25">
      <c r="A45" s="4"/>
      <c r="B45" s="6"/>
      <c r="C45" s="4"/>
    </row>
    <row r="46" spans="1:10" ht="15.75" customHeight="1" x14ac:dyDescent="0.25">
      <c r="A46" s="4"/>
      <c r="B46" s="4"/>
      <c r="C46" s="4"/>
    </row>
    <row r="47" spans="1:10" ht="15.75" customHeight="1" x14ac:dyDescent="0.25">
      <c r="A47" s="5" t="s">
        <v>99</v>
      </c>
      <c r="B47" s="5"/>
      <c r="C47" s="4">
        <f>SUMIF(F2:F35,"Electronics",D2:D35)</f>
        <v>8050</v>
      </c>
    </row>
    <row r="48" spans="1:10" ht="15.75" customHeight="1" x14ac:dyDescent="0.25">
      <c r="A48" s="5" t="s">
        <v>103</v>
      </c>
      <c r="B48" s="5"/>
      <c r="C48" s="4">
        <f>COUNTIF(D2:D35,"&lt;100")</f>
        <v>11</v>
      </c>
    </row>
    <row r="49" spans="1:3" ht="15.75" customHeight="1" x14ac:dyDescent="0.25">
      <c r="A49" s="4"/>
      <c r="B49" s="4"/>
      <c r="C49" s="4"/>
    </row>
    <row r="50" spans="1:3" ht="15.75" customHeight="1" x14ac:dyDescent="0.25"/>
    <row r="51" spans="1:3" ht="15.75" customHeight="1" x14ac:dyDescent="0.25"/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AISWARIYA</dc:creator>
  <cp:lastModifiedBy>AISWARIYA P</cp:lastModifiedBy>
  <dcterms:created xsi:type="dcterms:W3CDTF">2026-10-12T15:24:15Z</dcterms:created>
  <dcterms:modified xsi:type="dcterms:W3CDTF">2026-10-14T04:44:57Z</dcterms:modified>
</cp:coreProperties>
</file>